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I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6.83203125" customWidth="1"/>
    <col min="2" max="2" width="18.83203125" customWidth="1"/>
    <col min="3" max="3" width="32.83203125" customWidth="1"/>
  </cols>
  <sheetData>
    <row r="1">
      <c r="A1" t="str">
        <v>Aero Suite — Calculadora de ROI (MRO / Part 145)</v>
      </c>
      <c r="B1" t="str">
        <v/>
      </c>
      <c r="C1" t="str">
        <v/>
      </c>
    </row>
    <row r="2">
      <c r="A2" t="str">
        <v>Ajuste os valores na coluna B por prospect.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PARÂMETRO</v>
      </c>
      <c r="B4" t="str">
        <v>VALOR</v>
      </c>
      <c r="C4" t="str">
        <v>NOTAS</v>
      </c>
    </row>
    <row r="5">
      <c r="A5" t="str">
        <v>Horas administração / mês</v>
      </c>
      <c r="B5" s="1">
        <v>40</v>
      </c>
      <c r="C5" t="str">
        <v>OS, e-mail, planilhas</v>
      </c>
    </row>
    <row r="6">
      <c r="A6" t="str">
        <v>Custo hora carregado (R$)</v>
      </c>
      <c r="B6" s="1">
        <v>80</v>
      </c>
      <c r="C6" t="str">
        <v>Salário + encargos</v>
      </c>
    </row>
    <row r="7">
      <c r="A7" t="str">
        <v>Horas retrabalho / mês</v>
      </c>
      <c r="B7">
        <v>8</v>
      </c>
      <c r="C7" t="str">
        <v>Erro operacional evitável</v>
      </c>
    </row>
    <row r="8">
      <c r="A8" t="str">
        <v>Multa/atraso evitado (R$/mês)</v>
      </c>
      <c r="B8" s="1">
        <v>0</v>
      </c>
      <c r="C8" t="str">
        <v>Pode ser 0 na 1ª conversa</v>
      </c>
    </row>
    <row r="9">
      <c r="A9" t="str">
        <v>Licença mensal proposta (R$)</v>
      </c>
      <c r="B9" s="1">
        <v>2500</v>
      </c>
      <c r="C9" t="str">
        <v>Preço comercial</v>
      </c>
    </row>
    <row r="10">
      <c r="A10" t="str">
        <v>Investimento inicial (R$)</v>
      </c>
      <c r="B10" s="1">
        <v>15000</v>
      </c>
      <c r="C10" t="str">
        <v>Setup + migração + treinamento</v>
      </c>
    </row>
    <row r="11">
      <c r="A11" t="str">
        <v/>
      </c>
      <c r="B11" t="str">
        <v/>
      </c>
      <c r="C11" t="str">
        <v/>
      </c>
    </row>
    <row r="12">
      <c r="A12" t="str">
        <v>RESULTADO</v>
      </c>
      <c r="B12" t="str">
        <v>VALOR</v>
      </c>
      <c r="C12" t="str">
        <v>FÓRMULA</v>
      </c>
    </row>
    <row r="13">
      <c r="A13" t="str">
        <v>Economia operacional / mês (R$)</v>
      </c>
      <c r="B13" s="1">
        <f>B5*B6+B7*B6+B8</f>
      </c>
      <c r="C13" t="str">
        <v>admin + retrabalho + multa</v>
      </c>
    </row>
    <row r="14">
      <c r="A14" t="str">
        <v>Ganho líquido / mês (R$)</v>
      </c>
      <c r="B14" s="1">
        <f>B13-B9</f>
      </c>
      <c r="C14" t="str">
        <v>economia − licença</v>
      </c>
    </row>
    <row r="15">
      <c r="A15" t="str">
        <v>Payback investimento (meses)</v>
      </c>
      <c r="B15">
        <f>IF(B14&lt;=0,"Revise premissas",IF(B10=0,"Imediato",B10/B14))</f>
      </c>
      <c r="C15" t="str">
        <v>investimento ÷ líquido</v>
      </c>
    </row>
    <row r="16">
      <c r="A16" t="str">
        <v>Economia acumulada Ano 1 (R$)</v>
      </c>
      <c r="B16" s="1">
        <f>B14*12-B10</f>
      </c>
      <c r="C16" t="str">
        <v>líquido×12 − investimento</v>
      </c>
    </row>
    <row r="17">
      <c r="A17" t="str">
        <v/>
      </c>
      <c r="B17" t="str">
        <v/>
      </c>
      <c r="C17" t="str">
        <v/>
      </c>
    </row>
    <row r="18">
      <c r="A18" t="str">
        <v>GRÁFICO</v>
      </c>
      <c r="B18" t="str">
        <v/>
      </c>
      <c r="C18" t="str">
        <v/>
      </c>
    </row>
    <row r="19">
      <c r="A19" t="str">
        <v>Licença mensal (referência)</v>
      </c>
      <c r="B19" s="1">
        <f>B9</f>
      </c>
      <c r="C19" t="str">
        <v>Para gráfico de barras</v>
      </c>
    </row>
    <row r="20">
      <c r="A20" t="str">
        <v>Economia bruta mensal (referência)</v>
      </c>
      <c r="B20" s="1">
        <f>B13</f>
      </c>
      <c r="C20" t="str">
        <v>Para gráfico de barras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52.83203125" customWidth="1"/>
  </cols>
  <sheetData>
    <row r="1">
      <c r="A1" t="str">
        <v>Como usar no Google Sheets</v>
      </c>
      <c r="B1" t="str">
        <v/>
      </c>
    </row>
    <row r="2">
      <c r="A2" t="str">
        <v>1</v>
      </c>
      <c r="B2" t="str">
        <v>Faça upload deste .xlsx no Google Drive</v>
      </c>
    </row>
    <row r="3">
      <c r="A3" t="str">
        <v>2</v>
      </c>
      <c r="B3" t="str">
        <v>Abra com Google Planilhas (Arquivo → Importar se necessário)</v>
      </c>
    </row>
    <row r="4">
      <c r="A4" t="str">
        <v>3</v>
      </c>
      <c r="B4" t="str">
        <v>Edite apenas a coluna B (parâmetros)</v>
      </c>
    </row>
    <row r="5">
      <c r="A5" t="str">
        <v>4</v>
      </c>
      <c r="B5" t="str">
        <v>Gráfico: selecione A19:B20 → Inserir → Gráfico → Barras</v>
      </c>
    </row>
    <row r="6">
      <c r="A6" t="str">
        <v>5</v>
      </c>
      <c r="B6" t="str">
        <v>Landing web equivalente: docs/marketing/landing-roi/index.html</v>
      </c>
    </row>
    <row r="7">
      <c r="A7" t="str">
        <v/>
      </c>
      <c r="B7" t="str">
        <v/>
      </c>
    </row>
    <row r="8">
      <c r="A8" t="str">
        <v>Fórmulas (referência)</v>
      </c>
      <c r="B8" t="str">
        <v/>
      </c>
    </row>
    <row r="9">
      <c r="A9" t="str">
        <v>Economia/mês</v>
      </c>
      <c r="B9" t="str">
        <v>=B5*B6+B7*B6+B8</v>
      </c>
    </row>
    <row r="10">
      <c r="A10" t="str">
        <v>Líquido/mês</v>
      </c>
      <c r="B10" t="str">
        <v>=B13-B9</v>
      </c>
    </row>
    <row r="11">
      <c r="A11" t="str">
        <v>Payback</v>
      </c>
      <c r="B11" t="str">
        <v>=SE(B14&lt;=0;"Revise premissas";SE(B10=0;"Imediato";B10/B14))</v>
      </c>
    </row>
    <row r="12">
      <c r="A12" t="str">
        <v>Ano 1</v>
      </c>
      <c r="B12" t="str">
        <v>=B14*12-B10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ROI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